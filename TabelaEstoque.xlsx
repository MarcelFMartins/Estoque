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rcel\Desktop\Nova pasta\"/>
    </mc:Choice>
  </mc:AlternateContent>
  <xr:revisionPtr revIDLastSave="0" documentId="13_ncr:1_{4FB6A6BA-41B2-4DAD-AD28-C49371BB90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oqu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F3" i="1"/>
  <c r="H2" i="1"/>
  <c r="G2" i="1"/>
  <c r="G3" i="1" s="1"/>
  <c r="F2" i="1"/>
  <c r="G4" i="1" l="1"/>
  <c r="I2" i="1"/>
  <c r="H3" i="1" s="1"/>
  <c r="H4" i="1" s="1"/>
  <c r="I3" i="1" l="1"/>
  <c r="I4" i="1"/>
  <c r="H5" i="1" s="1"/>
  <c r="G5" i="1"/>
  <c r="G6" i="1" l="1"/>
  <c r="I5" i="1"/>
  <c r="H6" i="1" s="1"/>
  <c r="G7" i="1" l="1"/>
  <c r="I6" i="1"/>
  <c r="H7" i="1" s="1"/>
  <c r="H8" i="1" s="1"/>
  <c r="H9" i="1" s="1"/>
  <c r="H10" i="1" s="1"/>
  <c r="G8" i="1" l="1"/>
  <c r="I7" i="1"/>
  <c r="G9" i="1" l="1"/>
  <c r="I8" i="1"/>
  <c r="G10" i="1" l="1"/>
  <c r="I9" i="1"/>
  <c r="G11" i="1" l="1"/>
  <c r="I10" i="1"/>
  <c r="H11" i="1" s="1"/>
  <c r="H12" i="1" s="1"/>
  <c r="G12" i="1" l="1"/>
  <c r="I11" i="1"/>
  <c r="G13" i="1" l="1"/>
  <c r="I12" i="1"/>
  <c r="H13" i="1" s="1"/>
  <c r="G14" i="1" l="1"/>
  <c r="I13" i="1"/>
  <c r="H14" i="1" s="1"/>
  <c r="H15" i="1" s="1"/>
  <c r="I14" i="1" l="1"/>
  <c r="G15" i="1"/>
  <c r="G16" i="1" l="1"/>
  <c r="I15" i="1"/>
  <c r="H16" i="1" s="1"/>
  <c r="H17" i="1" s="1"/>
  <c r="H18" i="1" s="1"/>
  <c r="H19" i="1" s="1"/>
  <c r="G17" i="1" l="1"/>
  <c r="I16" i="1"/>
  <c r="I17" i="1" l="1"/>
  <c r="G18" i="1"/>
  <c r="G19" i="1" l="1"/>
  <c r="I18" i="1"/>
  <c r="G20" i="1" l="1"/>
  <c r="I19" i="1"/>
  <c r="H20" i="1" s="1"/>
  <c r="H21" i="1" s="1"/>
  <c r="I20" i="1" l="1"/>
  <c r="G21" i="1"/>
  <c r="I21" i="1" l="1"/>
  <c r="H22" i="1" s="1"/>
  <c r="H23" i="1" s="1"/>
  <c r="G22" i="1"/>
  <c r="G23" i="1" l="1"/>
  <c r="I22" i="1"/>
  <c r="G24" i="1" l="1"/>
  <c r="I23" i="1"/>
  <c r="H24" i="1" s="1"/>
  <c r="G25" i="1" l="1"/>
  <c r="I24" i="1"/>
  <c r="H25" i="1" s="1"/>
  <c r="G26" i="1" l="1"/>
  <c r="I25" i="1"/>
  <c r="H26" i="1" s="1"/>
  <c r="G27" i="1" l="1"/>
  <c r="I26" i="1"/>
  <c r="H27" i="1" s="1"/>
  <c r="G28" i="1" l="1"/>
  <c r="I27" i="1"/>
  <c r="H28" i="1" s="1"/>
  <c r="G29" i="1" l="1"/>
  <c r="I28" i="1"/>
  <c r="H29" i="1" s="1"/>
  <c r="G30" i="1" l="1"/>
  <c r="I29" i="1"/>
  <c r="H30" i="1" s="1"/>
  <c r="I30" i="1" l="1"/>
</calcChain>
</file>

<file path=xl/sharedStrings.xml><?xml version="1.0" encoding="utf-8"?>
<sst xmlns="http://schemas.openxmlformats.org/spreadsheetml/2006/main" count="67" uniqueCount="13">
  <si>
    <t>Data</t>
  </si>
  <si>
    <t>Produto</t>
  </si>
  <si>
    <t>Tipo</t>
  </si>
  <si>
    <t>Quantidade</t>
  </si>
  <si>
    <t>Preço Unitário</t>
  </si>
  <si>
    <t>Valor Total</t>
  </si>
  <si>
    <t>Quantidade em Estoque</t>
  </si>
  <si>
    <t>Custo Médio</t>
  </si>
  <si>
    <t>Valor Total em Estoque</t>
  </si>
  <si>
    <t>Morango</t>
  </si>
  <si>
    <t>Compra</t>
  </si>
  <si>
    <t>Tomate</t>
  </si>
  <si>
    <t>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</si>
</sst>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/>
  </cellStyleXfs>
  <cellXfs count="4">
    <xf numFmtId="0" fontId="0" fillId="0" borderId="0" xfId="0"/>
    <xf numFmtId="0" fontId="0" fillId="2" borderId="0" xfId="0" applyFill="1" applyAlignment="1">
      <alignment horizontal="center"/>
    </xf>
    <xf numFmtId="44" fontId="0" fillId="2" borderId="0" xfId="1" applyFont="1" applyFill="1" applyAlignment="1">
      <alignment horizontal="center"/>
    </xf>
    <xf numFmtId="16" fontId="0" fillId="2" borderId="0" xfId="0" applyNumberFormat="1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B33" sqref="B33"/>
    </sheetView>
  </sheetViews>
  <sheetFormatPr defaultColWidth="22.7109375" defaultRowHeight="15" x14ac:dyDescent="0.25"/>
  <cols>
    <col min="1" max="4" width="22.7109375" style="1" customWidth="1"/>
    <col min="5" max="6" width="22.7109375" style="2" customWidth="1"/>
    <col min="7" max="7" width="22.7109375" style="1" customWidth="1"/>
    <col min="8" max="9" width="22.7109375" style="2" customWidth="1"/>
    <col min="10" max="10" width="22.7109375" style="1" customWidth="1"/>
    <col min="11" max="16384" width="22.7109375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</row>
    <row r="2" spans="1:9" x14ac:dyDescent="0.25">
      <c r="A2" s="3">
        <v>46082</v>
      </c>
      <c r="B2" s="3" t="s">
        <v>9</v>
      </c>
      <c r="C2" s="1" t="s">
        <v>10</v>
      </c>
      <c r="D2" s="1">
        <v>100</v>
      </c>
      <c r="E2" s="2">
        <v>10</v>
      </c>
      <c r="F2" s="2">
        <f t="shared" ref="F2:F30" si="0">(D2*E2)</f>
        <v>1000</v>
      </c>
      <c r="G2" s="1">
        <f>D2</f>
        <v>100</v>
      </c>
      <c r="H2" s="2">
        <f>E2</f>
        <v>10</v>
      </c>
      <c r="I2" s="2">
        <f t="shared" ref="I2:I30" si="1">G2*H2</f>
        <v>1000</v>
      </c>
    </row>
    <row r="3" spans="1:9" x14ac:dyDescent="0.25">
      <c r="A3" s="3">
        <v>46083</v>
      </c>
      <c r="B3" s="3" t="s">
        <v>11</v>
      </c>
      <c r="C3" s="1" t="s">
        <v>10</v>
      </c>
      <c r="D3" s="1">
        <v>50</v>
      </c>
      <c r="E3" s="2">
        <v>12</v>
      </c>
      <c r="F3" s="2">
        <f t="shared" si="0"/>
        <v>600</v>
      </c>
      <c r="G3" s="1">
        <f t="shared" ref="G3:G30" si="2">IF(C3="Compra", G2+D3, G2-D3)</f>
        <v>150</v>
      </c>
      <c r="H3" s="2">
        <f t="shared" ref="H3:H30" si="3">IF(C3="Compra", (I2+F3)/(G2+D3), H2)</f>
        <v>10.666666666666666</v>
      </c>
      <c r="I3" s="2">
        <f t="shared" si="1"/>
        <v>1600</v>
      </c>
    </row>
    <row r="4" spans="1:9" x14ac:dyDescent="0.25">
      <c r="A4" s="3">
        <f t="shared" ref="A4:A30" si="4">A3+1</f>
        <v>46084</v>
      </c>
      <c r="B4" s="3" t="s">
        <v>9</v>
      </c>
      <c r="C4" s="1" t="s">
        <v>12</v>
      </c>
      <c r="D4" s="1">
        <v>30</v>
      </c>
      <c r="E4" s="2">
        <v>15</v>
      </c>
      <c r="F4" s="2">
        <f t="shared" si="0"/>
        <v>450</v>
      </c>
      <c r="G4" s="1">
        <f t="shared" si="2"/>
        <v>120</v>
      </c>
      <c r="H4" s="2">
        <f t="shared" si="3"/>
        <v>10.666666666666666</v>
      </c>
      <c r="I4" s="2">
        <f t="shared" si="1"/>
        <v>1280</v>
      </c>
    </row>
    <row r="5" spans="1:9" x14ac:dyDescent="0.25">
      <c r="A5" s="3">
        <f t="shared" si="4"/>
        <v>46085</v>
      </c>
      <c r="B5" s="3" t="s">
        <v>11</v>
      </c>
      <c r="C5" s="1" t="s">
        <v>10</v>
      </c>
      <c r="D5" s="1">
        <v>80</v>
      </c>
      <c r="E5" s="2">
        <v>11</v>
      </c>
      <c r="F5" s="2">
        <f t="shared" si="0"/>
        <v>880</v>
      </c>
      <c r="G5" s="1">
        <f t="shared" si="2"/>
        <v>200</v>
      </c>
      <c r="H5" s="2">
        <f t="shared" si="3"/>
        <v>10.8</v>
      </c>
      <c r="I5" s="2">
        <f t="shared" si="1"/>
        <v>2160</v>
      </c>
    </row>
    <row r="6" spans="1:9" x14ac:dyDescent="0.25">
      <c r="A6" s="3">
        <f t="shared" si="4"/>
        <v>46086</v>
      </c>
      <c r="B6" s="3" t="s">
        <v>9</v>
      </c>
      <c r="C6" s="1" t="s">
        <v>10</v>
      </c>
      <c r="D6" s="1">
        <v>100</v>
      </c>
      <c r="E6" s="2">
        <v>11</v>
      </c>
      <c r="F6" s="2">
        <f t="shared" si="0"/>
        <v>1100</v>
      </c>
      <c r="G6" s="1">
        <f t="shared" si="2"/>
        <v>300</v>
      </c>
      <c r="H6" s="2">
        <f t="shared" si="3"/>
        <v>10.866666666666667</v>
      </c>
      <c r="I6" s="2">
        <f t="shared" si="1"/>
        <v>3260</v>
      </c>
    </row>
    <row r="7" spans="1:9" x14ac:dyDescent="0.25">
      <c r="A7" s="3">
        <f t="shared" si="4"/>
        <v>46087</v>
      </c>
      <c r="B7" s="3" t="s">
        <v>9</v>
      </c>
      <c r="C7" s="1" t="s">
        <v>10</v>
      </c>
      <c r="D7" s="1">
        <v>50</v>
      </c>
      <c r="E7" s="2">
        <v>12</v>
      </c>
      <c r="F7" s="2">
        <f t="shared" si="0"/>
        <v>600</v>
      </c>
      <c r="G7" s="1">
        <f t="shared" si="2"/>
        <v>350</v>
      </c>
      <c r="H7" s="2">
        <f t="shared" si="3"/>
        <v>11.028571428571428</v>
      </c>
      <c r="I7" s="2">
        <f t="shared" si="1"/>
        <v>3860</v>
      </c>
    </row>
    <row r="8" spans="1:9" x14ac:dyDescent="0.25">
      <c r="A8" s="3">
        <f t="shared" si="4"/>
        <v>46088</v>
      </c>
      <c r="B8" s="3" t="s">
        <v>9</v>
      </c>
      <c r="C8" s="1" t="s">
        <v>12</v>
      </c>
      <c r="D8" s="1">
        <v>100</v>
      </c>
      <c r="E8" s="2">
        <v>15</v>
      </c>
      <c r="F8" s="2">
        <f t="shared" si="0"/>
        <v>1500</v>
      </c>
      <c r="G8" s="1">
        <f t="shared" si="2"/>
        <v>250</v>
      </c>
      <c r="H8" s="2">
        <f t="shared" si="3"/>
        <v>11.028571428571428</v>
      </c>
      <c r="I8" s="2">
        <f t="shared" si="1"/>
        <v>2757.1428571428573</v>
      </c>
    </row>
    <row r="9" spans="1:9" x14ac:dyDescent="0.25">
      <c r="A9" s="3">
        <f t="shared" si="4"/>
        <v>46089</v>
      </c>
      <c r="B9" s="3" t="s">
        <v>11</v>
      </c>
      <c r="C9" s="1" t="s">
        <v>12</v>
      </c>
      <c r="D9" s="1">
        <v>20</v>
      </c>
      <c r="E9" s="2">
        <v>15</v>
      </c>
      <c r="F9" s="2">
        <f t="shared" si="0"/>
        <v>300</v>
      </c>
      <c r="G9" s="1">
        <f t="shared" si="2"/>
        <v>230</v>
      </c>
      <c r="H9" s="2">
        <f t="shared" si="3"/>
        <v>11.028571428571428</v>
      </c>
      <c r="I9" s="2">
        <f t="shared" si="1"/>
        <v>2536.5714285714284</v>
      </c>
    </row>
    <row r="10" spans="1:9" x14ac:dyDescent="0.25">
      <c r="A10" s="3">
        <f t="shared" si="4"/>
        <v>46090</v>
      </c>
      <c r="B10" s="3" t="s">
        <v>9</v>
      </c>
      <c r="C10" s="1" t="s">
        <v>12</v>
      </c>
      <c r="D10" s="1">
        <v>50</v>
      </c>
      <c r="E10" s="2">
        <v>15</v>
      </c>
      <c r="F10" s="2">
        <f t="shared" si="0"/>
        <v>750</v>
      </c>
      <c r="G10" s="1">
        <f t="shared" si="2"/>
        <v>180</v>
      </c>
      <c r="H10" s="2">
        <f t="shared" si="3"/>
        <v>11.028571428571428</v>
      </c>
      <c r="I10" s="2">
        <f t="shared" si="1"/>
        <v>1985.1428571428571</v>
      </c>
    </row>
    <row r="11" spans="1:9" x14ac:dyDescent="0.25">
      <c r="A11" s="3">
        <f t="shared" si="4"/>
        <v>46091</v>
      </c>
      <c r="B11" s="3" t="s">
        <v>11</v>
      </c>
      <c r="C11" s="1" t="s">
        <v>10</v>
      </c>
      <c r="D11" s="1">
        <v>100</v>
      </c>
      <c r="E11" s="2">
        <v>13</v>
      </c>
      <c r="F11" s="2">
        <f t="shared" si="0"/>
        <v>1300</v>
      </c>
      <c r="G11" s="1">
        <f t="shared" si="2"/>
        <v>280</v>
      </c>
      <c r="H11" s="2">
        <f t="shared" si="3"/>
        <v>11.732653061224489</v>
      </c>
      <c r="I11" s="2">
        <f t="shared" si="1"/>
        <v>3285.1428571428569</v>
      </c>
    </row>
    <row r="12" spans="1:9" x14ac:dyDescent="0.25">
      <c r="A12" s="3">
        <f t="shared" si="4"/>
        <v>46092</v>
      </c>
      <c r="B12" s="3" t="s">
        <v>9</v>
      </c>
      <c r="C12" s="1" t="s">
        <v>12</v>
      </c>
      <c r="D12" s="1">
        <v>50</v>
      </c>
      <c r="E12" s="2">
        <v>15</v>
      </c>
      <c r="F12" s="2">
        <f t="shared" si="0"/>
        <v>750</v>
      </c>
      <c r="G12" s="1">
        <f t="shared" si="2"/>
        <v>230</v>
      </c>
      <c r="H12" s="2">
        <f t="shared" si="3"/>
        <v>11.732653061224489</v>
      </c>
      <c r="I12" s="2">
        <f t="shared" si="1"/>
        <v>2698.5102040816328</v>
      </c>
    </row>
    <row r="13" spans="1:9" x14ac:dyDescent="0.25">
      <c r="A13" s="3">
        <f t="shared" si="4"/>
        <v>46093</v>
      </c>
      <c r="B13" s="3" t="s">
        <v>11</v>
      </c>
      <c r="C13" s="1" t="s">
        <v>10</v>
      </c>
      <c r="D13" s="1">
        <v>200</v>
      </c>
      <c r="E13" s="2">
        <v>13</v>
      </c>
      <c r="F13" s="2">
        <f t="shared" si="0"/>
        <v>2600</v>
      </c>
      <c r="G13" s="1">
        <f t="shared" si="2"/>
        <v>430</v>
      </c>
      <c r="H13" s="2">
        <f t="shared" si="3"/>
        <v>12.322116753678216</v>
      </c>
      <c r="I13" s="2">
        <f t="shared" si="1"/>
        <v>5298.5102040816328</v>
      </c>
    </row>
    <row r="14" spans="1:9" x14ac:dyDescent="0.25">
      <c r="A14" s="3">
        <f t="shared" si="4"/>
        <v>46094</v>
      </c>
      <c r="B14" s="3" t="s">
        <v>11</v>
      </c>
      <c r="C14" s="1" t="s">
        <v>10</v>
      </c>
      <c r="D14" s="1">
        <v>100</v>
      </c>
      <c r="E14" s="2">
        <v>13</v>
      </c>
      <c r="F14" s="2">
        <f t="shared" si="0"/>
        <v>1300</v>
      </c>
      <c r="G14" s="1">
        <f t="shared" si="2"/>
        <v>530</v>
      </c>
      <c r="H14" s="2">
        <f t="shared" si="3"/>
        <v>12.450019252984212</v>
      </c>
      <c r="I14" s="2">
        <f t="shared" si="1"/>
        <v>6598.5102040816328</v>
      </c>
    </row>
    <row r="15" spans="1:9" x14ac:dyDescent="0.25">
      <c r="A15" s="3">
        <f t="shared" si="4"/>
        <v>46095</v>
      </c>
      <c r="B15" s="3" t="s">
        <v>11</v>
      </c>
      <c r="C15" s="1" t="s">
        <v>12</v>
      </c>
      <c r="D15" s="1">
        <v>300</v>
      </c>
      <c r="E15" s="2">
        <v>15</v>
      </c>
      <c r="F15" s="2">
        <f t="shared" si="0"/>
        <v>4500</v>
      </c>
      <c r="G15" s="1">
        <f t="shared" si="2"/>
        <v>230</v>
      </c>
      <c r="H15" s="2">
        <f t="shared" si="3"/>
        <v>12.450019252984212</v>
      </c>
      <c r="I15" s="2">
        <f t="shared" si="1"/>
        <v>2863.5044281863688</v>
      </c>
    </row>
    <row r="16" spans="1:9" x14ac:dyDescent="0.25">
      <c r="A16" s="3">
        <f t="shared" si="4"/>
        <v>46096</v>
      </c>
      <c r="B16" s="3" t="s">
        <v>9</v>
      </c>
      <c r="C16" s="1" t="s">
        <v>10</v>
      </c>
      <c r="D16" s="1">
        <v>200</v>
      </c>
      <c r="E16" s="2">
        <v>14</v>
      </c>
      <c r="F16" s="2">
        <f t="shared" si="0"/>
        <v>2800</v>
      </c>
      <c r="G16" s="1">
        <f t="shared" si="2"/>
        <v>430</v>
      </c>
      <c r="H16" s="2">
        <f t="shared" si="3"/>
        <v>13.170940530665973</v>
      </c>
      <c r="I16" s="2">
        <f t="shared" si="1"/>
        <v>5663.5044281863684</v>
      </c>
    </row>
    <row r="17" spans="1:9" x14ac:dyDescent="0.25">
      <c r="A17" s="3">
        <f t="shared" si="4"/>
        <v>46097</v>
      </c>
      <c r="B17" s="3" t="s">
        <v>9</v>
      </c>
      <c r="C17" s="1" t="s">
        <v>12</v>
      </c>
      <c r="D17" s="1">
        <v>100</v>
      </c>
      <c r="E17" s="2">
        <v>16</v>
      </c>
      <c r="F17" s="2">
        <f t="shared" si="0"/>
        <v>1600</v>
      </c>
      <c r="G17" s="1">
        <f t="shared" si="2"/>
        <v>330</v>
      </c>
      <c r="H17" s="2">
        <f t="shared" si="3"/>
        <v>13.170940530665973</v>
      </c>
      <c r="I17" s="2">
        <f t="shared" si="1"/>
        <v>4346.4103751197708</v>
      </c>
    </row>
    <row r="18" spans="1:9" x14ac:dyDescent="0.25">
      <c r="A18" s="3">
        <f t="shared" si="4"/>
        <v>46098</v>
      </c>
      <c r="B18" s="3" t="s">
        <v>9</v>
      </c>
      <c r="C18" s="1" t="s">
        <v>12</v>
      </c>
      <c r="D18" s="1">
        <v>200</v>
      </c>
      <c r="E18" s="2">
        <v>17</v>
      </c>
      <c r="F18" s="2">
        <f t="shared" si="0"/>
        <v>3400</v>
      </c>
      <c r="G18" s="1">
        <f t="shared" si="2"/>
        <v>130</v>
      </c>
      <c r="H18" s="2">
        <f t="shared" si="3"/>
        <v>13.170940530665973</v>
      </c>
      <c r="I18" s="2">
        <f t="shared" si="1"/>
        <v>1712.2222689865766</v>
      </c>
    </row>
    <row r="19" spans="1:9" x14ac:dyDescent="0.25">
      <c r="A19" s="3">
        <f t="shared" si="4"/>
        <v>46099</v>
      </c>
      <c r="B19" s="3" t="s">
        <v>11</v>
      </c>
      <c r="C19" s="1" t="s">
        <v>12</v>
      </c>
      <c r="D19" s="1">
        <v>50</v>
      </c>
      <c r="E19" s="2">
        <v>16</v>
      </c>
      <c r="F19" s="2">
        <f t="shared" si="0"/>
        <v>800</v>
      </c>
      <c r="G19" s="1">
        <f t="shared" si="2"/>
        <v>80</v>
      </c>
      <c r="H19" s="2">
        <f t="shared" si="3"/>
        <v>13.170940530665973</v>
      </c>
      <c r="I19" s="2">
        <f t="shared" si="1"/>
        <v>1053.6752424532779</v>
      </c>
    </row>
    <row r="20" spans="1:9" x14ac:dyDescent="0.25">
      <c r="A20" s="3">
        <f t="shared" si="4"/>
        <v>46100</v>
      </c>
      <c r="B20" s="3" t="s">
        <v>11</v>
      </c>
      <c r="C20" s="1" t="s">
        <v>10</v>
      </c>
      <c r="D20" s="1">
        <v>200</v>
      </c>
      <c r="E20" s="2">
        <v>18</v>
      </c>
      <c r="F20" s="2">
        <f t="shared" si="0"/>
        <v>3600</v>
      </c>
      <c r="G20" s="1">
        <f t="shared" si="2"/>
        <v>280</v>
      </c>
      <c r="H20" s="2">
        <f t="shared" si="3"/>
        <v>16.62026872304742</v>
      </c>
      <c r="I20" s="2">
        <f t="shared" si="1"/>
        <v>4653.6752424532779</v>
      </c>
    </row>
    <row r="21" spans="1:9" x14ac:dyDescent="0.25">
      <c r="A21" s="3">
        <f t="shared" si="4"/>
        <v>46101</v>
      </c>
      <c r="B21" s="3" t="s">
        <v>11</v>
      </c>
      <c r="C21" s="1" t="s">
        <v>12</v>
      </c>
      <c r="D21" s="1">
        <v>100</v>
      </c>
      <c r="E21" s="2">
        <v>23</v>
      </c>
      <c r="F21" s="2">
        <f t="shared" si="0"/>
        <v>2300</v>
      </c>
      <c r="G21" s="1">
        <f t="shared" si="2"/>
        <v>180</v>
      </c>
      <c r="H21" s="2">
        <f t="shared" si="3"/>
        <v>16.62026872304742</v>
      </c>
      <c r="I21" s="2">
        <f t="shared" si="1"/>
        <v>2991.6483701485358</v>
      </c>
    </row>
    <row r="22" spans="1:9" x14ac:dyDescent="0.25">
      <c r="A22" s="3">
        <f t="shared" si="4"/>
        <v>46102</v>
      </c>
      <c r="B22" s="3" t="s">
        <v>9</v>
      </c>
      <c r="C22" s="1" t="s">
        <v>10</v>
      </c>
      <c r="D22" s="1">
        <v>200</v>
      </c>
      <c r="E22" s="2">
        <v>16</v>
      </c>
      <c r="F22" s="2">
        <f t="shared" si="0"/>
        <v>3200</v>
      </c>
      <c r="G22" s="1">
        <f t="shared" si="2"/>
        <v>380</v>
      </c>
      <c r="H22" s="2">
        <f t="shared" si="3"/>
        <v>16.293811500390884</v>
      </c>
      <c r="I22" s="2">
        <f t="shared" si="1"/>
        <v>6191.6483701485358</v>
      </c>
    </row>
    <row r="23" spans="1:9" x14ac:dyDescent="0.25">
      <c r="A23" s="3">
        <f t="shared" si="4"/>
        <v>46103</v>
      </c>
      <c r="B23" s="3" t="s">
        <v>9</v>
      </c>
      <c r="C23" s="1" t="s">
        <v>12</v>
      </c>
      <c r="D23" s="1">
        <v>300</v>
      </c>
      <c r="E23" s="2">
        <v>20</v>
      </c>
      <c r="F23" s="2">
        <f t="shared" si="0"/>
        <v>6000</v>
      </c>
      <c r="G23" s="1">
        <f t="shared" si="2"/>
        <v>80</v>
      </c>
      <c r="H23" s="2">
        <f t="shared" si="3"/>
        <v>16.293811500390884</v>
      </c>
      <c r="I23" s="2">
        <f t="shared" si="1"/>
        <v>1303.5049200312708</v>
      </c>
    </row>
    <row r="24" spans="1:9" x14ac:dyDescent="0.25">
      <c r="A24" s="3">
        <f t="shared" si="4"/>
        <v>46104</v>
      </c>
      <c r="B24" s="3" t="s">
        <v>11</v>
      </c>
      <c r="C24" s="1" t="s">
        <v>10</v>
      </c>
      <c r="D24" s="1">
        <v>20</v>
      </c>
      <c r="E24" s="2">
        <v>18</v>
      </c>
      <c r="F24" s="2">
        <f t="shared" si="0"/>
        <v>360</v>
      </c>
      <c r="G24" s="1">
        <f t="shared" si="2"/>
        <v>100</v>
      </c>
      <c r="H24" s="2">
        <f t="shared" si="3"/>
        <v>16.635049200312707</v>
      </c>
      <c r="I24" s="2">
        <f t="shared" si="1"/>
        <v>1663.5049200312708</v>
      </c>
    </row>
    <row r="25" spans="1:9" x14ac:dyDescent="0.25">
      <c r="A25" s="3">
        <f t="shared" si="4"/>
        <v>46105</v>
      </c>
      <c r="B25" s="3" t="s">
        <v>11</v>
      </c>
      <c r="C25" s="1" t="s">
        <v>10</v>
      </c>
      <c r="D25" s="1">
        <v>500</v>
      </c>
      <c r="E25" s="2">
        <v>15</v>
      </c>
      <c r="F25" s="2">
        <f t="shared" si="0"/>
        <v>7500</v>
      </c>
      <c r="G25" s="1">
        <f t="shared" si="2"/>
        <v>600</v>
      </c>
      <c r="H25" s="2">
        <f t="shared" si="3"/>
        <v>15.272508200052119</v>
      </c>
      <c r="I25" s="2">
        <f t="shared" si="1"/>
        <v>9163.5049200312715</v>
      </c>
    </row>
    <row r="26" spans="1:9" x14ac:dyDescent="0.25">
      <c r="A26" s="3">
        <f t="shared" si="4"/>
        <v>46106</v>
      </c>
      <c r="B26" s="3" t="s">
        <v>9</v>
      </c>
      <c r="C26" s="1" t="s">
        <v>10</v>
      </c>
      <c r="D26" s="1">
        <v>100</v>
      </c>
      <c r="E26" s="2">
        <v>16</v>
      </c>
      <c r="F26" s="2">
        <f t="shared" si="0"/>
        <v>1600</v>
      </c>
      <c r="G26" s="1">
        <f t="shared" si="2"/>
        <v>700</v>
      </c>
      <c r="H26" s="2">
        <f t="shared" si="3"/>
        <v>15.376435600044674</v>
      </c>
      <c r="I26" s="2">
        <f t="shared" si="1"/>
        <v>10763.504920031271</v>
      </c>
    </row>
    <row r="27" spans="1:9" x14ac:dyDescent="0.25">
      <c r="A27" s="3">
        <f t="shared" si="4"/>
        <v>46107</v>
      </c>
      <c r="B27" s="3" t="s">
        <v>11</v>
      </c>
      <c r="C27" s="1" t="s">
        <v>10</v>
      </c>
      <c r="D27" s="1">
        <v>200</v>
      </c>
      <c r="E27" s="2">
        <v>17</v>
      </c>
      <c r="F27" s="2">
        <f t="shared" si="0"/>
        <v>3400</v>
      </c>
      <c r="G27" s="1">
        <f t="shared" si="2"/>
        <v>900</v>
      </c>
      <c r="H27" s="2">
        <f t="shared" si="3"/>
        <v>15.737227688923635</v>
      </c>
      <c r="I27" s="2">
        <f t="shared" si="1"/>
        <v>14163.504920031271</v>
      </c>
    </row>
    <row r="28" spans="1:9" x14ac:dyDescent="0.25">
      <c r="A28" s="3">
        <f t="shared" si="4"/>
        <v>46108</v>
      </c>
      <c r="B28" s="3" t="s">
        <v>9</v>
      </c>
      <c r="C28" s="1" t="s">
        <v>10</v>
      </c>
      <c r="D28" s="1">
        <v>500</v>
      </c>
      <c r="E28" s="2">
        <v>20</v>
      </c>
      <c r="F28" s="2">
        <f t="shared" si="0"/>
        <v>10000</v>
      </c>
      <c r="G28" s="1">
        <f t="shared" si="2"/>
        <v>1400</v>
      </c>
      <c r="H28" s="2">
        <f t="shared" si="3"/>
        <v>17.259646371450909</v>
      </c>
      <c r="I28" s="2">
        <f t="shared" si="1"/>
        <v>24163.504920031271</v>
      </c>
    </row>
    <row r="29" spans="1:9" x14ac:dyDescent="0.25">
      <c r="A29" s="3">
        <f t="shared" si="4"/>
        <v>46109</v>
      </c>
      <c r="B29" s="3" t="s">
        <v>11</v>
      </c>
      <c r="C29" s="1" t="s">
        <v>10</v>
      </c>
      <c r="D29" s="1">
        <v>100</v>
      </c>
      <c r="E29" s="2">
        <v>16</v>
      </c>
      <c r="F29" s="2">
        <f t="shared" si="0"/>
        <v>1600</v>
      </c>
      <c r="G29" s="1">
        <f t="shared" si="2"/>
        <v>1500</v>
      </c>
      <c r="H29" s="2">
        <f t="shared" si="3"/>
        <v>17.175669946687513</v>
      </c>
      <c r="I29" s="2">
        <f t="shared" si="1"/>
        <v>25763.504920031271</v>
      </c>
    </row>
    <row r="30" spans="1:9" x14ac:dyDescent="0.25">
      <c r="A30" s="3">
        <f t="shared" si="4"/>
        <v>46110</v>
      </c>
      <c r="B30" s="3" t="s">
        <v>9</v>
      </c>
      <c r="C30" s="1" t="s">
        <v>10</v>
      </c>
      <c r="D30" s="1">
        <v>300</v>
      </c>
      <c r="E30" s="2">
        <v>18</v>
      </c>
      <c r="F30" s="2">
        <f t="shared" si="0"/>
        <v>5400</v>
      </c>
      <c r="G30" s="1">
        <f t="shared" si="2"/>
        <v>1800</v>
      </c>
      <c r="H30" s="2">
        <f t="shared" si="3"/>
        <v>17.313058288906262</v>
      </c>
      <c r="I30" s="2">
        <f t="shared" si="1"/>
        <v>31163.504920031271</v>
      </c>
    </row>
    <row r="31" spans="1:9" x14ac:dyDescent="0.25">
      <c r="E31" s="1"/>
      <c r="F31" s="1"/>
      <c r="H31" s="1"/>
      <c r="I31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Estoque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</dc:creator>
  <cp:lastModifiedBy>Marcel Martins</cp:lastModifiedBy>
  <dcterms:created xsi:type="dcterms:W3CDTF">2026-03-05T17:07:01Z</dcterms:created>
  <dcterms:modified xsi:type="dcterms:W3CDTF">2026-03-05T20:12:09Z</dcterms:modified>
</cp:coreProperties>
</file>